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uturense\Group Projects\Sprint 1\Processed Files\"/>
    </mc:Choice>
  </mc:AlternateContent>
  <xr:revisionPtr revIDLastSave="0" documentId="13_ncr:1_{9092BD7C-27FF-4308-AEF4-76380AE3904B}" xr6:coauthVersionLast="47" xr6:coauthVersionMax="47" xr10:uidLastSave="{00000000-0000-0000-0000-000000000000}"/>
  <bookViews>
    <workbookView xWindow="-120" yWindow="-120" windowWidth="20730" windowHeight="11160" xr2:uid="{208F4B6E-3FB2-4F5B-997E-E814E6FD1236}"/>
  </bookViews>
  <sheets>
    <sheet name="Risk Register" sheetId="1" r:id="rId1"/>
    <sheet name="Servicenow Tick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3" i="1"/>
  <c r="L4" i="1"/>
  <c r="L5" i="1"/>
  <c r="L9" i="1"/>
  <c r="L2" i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<sst xmlns="http://schemas.openxmlformats.org/spreadsheetml/2006/main" count="141" uniqueCount="95">
  <si>
    <t>Risk ID</t>
  </si>
  <si>
    <t>Asset ID</t>
  </si>
  <si>
    <t>Risk Description</t>
  </si>
  <si>
    <t>Threat / Vulnerability</t>
  </si>
  <si>
    <t>Likelihood (1-5)</t>
  </si>
  <si>
    <t>Impact (1-5)</t>
  </si>
  <si>
    <t>Risk Score (L×I)</t>
  </si>
  <si>
    <t>Risk Level</t>
  </si>
  <si>
    <t>Control Requirements</t>
  </si>
  <si>
    <t>Mitigation Plan</t>
  </si>
  <si>
    <t>R-01</t>
  </si>
  <si>
    <t>A-01</t>
  </si>
  <si>
    <t>Unauthorized access to customer DB via compromised creds</t>
  </si>
  <si>
    <t>Weak password hygiene, missing enforced MFA</t>
  </si>
  <si>
    <t>VPN for admins, security group restrictions</t>
  </si>
  <si>
    <t>Implement mandatory MFA for all database admin accounts; enforce strong password policy (min 12 chars, complexity); conduct quarterly access reviews; implement privileged access management (PAM) solution</t>
  </si>
  <si>
    <t>R-02</t>
  </si>
  <si>
    <t>A-03</t>
  </si>
  <si>
    <t>Malware/Ransomware on laptops</t>
  </si>
  <si>
    <t>Users install unverified software, no EDR on all hosts</t>
  </si>
  <si>
    <t>Basic AV on ~70% devices, Windows updates monthly</t>
  </si>
  <si>
    <t>R-03</t>
  </si>
  <si>
    <t>A-04</t>
  </si>
  <si>
    <t>Leakage of employee PII from HRMS</t>
  </si>
  <si>
    <t>Excessive HRMS roles, no periodic access review</t>
  </si>
  <si>
    <t>Vendor provides SSO, HR uses unique accounts</t>
  </si>
  <si>
    <t>Implement role-based access control (RBAC) review every 6 months; reduce HRMS admin accounts to 2-3 only; enable audit logging; establish access request/approval workflow via ITSM platforms</t>
  </si>
  <si>
    <t>R-04</t>
  </si>
  <si>
    <t>A-09</t>
  </si>
  <si>
    <t>Backups unavailable after major AWS outage</t>
  </si>
  <si>
    <t>Backups only in one region</t>
  </si>
  <si>
    <t>Daily backups, monthly restore test</t>
  </si>
  <si>
    <t>Implement cross-region backup replication to AWS Singapore region; test disaster recovery annually; document backup restoration procedures; consider multi-cloud backup strategy</t>
  </si>
  <si>
    <t>R-05</t>
  </si>
  <si>
    <t>A-07</t>
  </si>
  <si>
    <t>Visitor gains access to internal network</t>
  </si>
  <si>
    <t>Shared Wi-Fi password, no strong NAC</t>
  </si>
  <si>
    <t>Guest Wi-Fi SSID, WPA2-PSK only</t>
  </si>
  <si>
    <t>Implement 802.1X network access control (NAC); separate guest Wi-Fi with isolated VLAN; require registration for guest access; deploy firewall rules between guest and internal networks</t>
  </si>
  <si>
    <t>R-06</t>
  </si>
  <si>
    <t>A-02</t>
  </si>
  <si>
    <t>Source code repo exfiltration by disgruntled dev</t>
  </si>
  <si>
    <t>Offboarding delays, no DLP on endpoints</t>
  </si>
  <si>
    <t>Automate offboarding process to revoke access within 1 hour; implement DLP on endpoints; conduct code review audits; enable Git commit signing; quarterly access certification for repositories</t>
  </si>
  <si>
    <t>R-07</t>
  </si>
  <si>
    <t>A-06</t>
  </si>
  <si>
    <t>Phishing leads to account compromise</t>
  </si>
  <si>
    <t>Basic awareness, no phishing simulations</t>
  </si>
  <si>
    <t>SPF/DKIM/DMARC, email spam filter</t>
  </si>
  <si>
    <t>Conduct monthly phishing simulation campaigns; implement security awareness training (quarterly); deploy advanced email security solution; enable Conditional Access policies in M365</t>
  </si>
  <si>
    <t>R-08</t>
  </si>
  <si>
    <t>A-08</t>
  </si>
  <si>
    <t>Incomplete incident records impact forensics</t>
  </si>
  <si>
    <t>No incident classification or templates</t>
  </si>
  <si>
    <t>Develop incident classification matrix (P1-P4); create incident response templates in Jira; train support team on documentation requirements; implement automated incident workflow</t>
  </si>
  <si>
    <t>Mitigating Resources</t>
  </si>
  <si>
    <t>Timeline</t>
  </si>
  <si>
    <t>Deploy EDR solution across all 55 laptops within 7 days; implement application whitelisting; enforce monthly security patching; conduct quarterly vulnerability scans; provide endpoint security training</t>
  </si>
  <si>
    <t xml:space="preserve">IAM </t>
  </si>
  <si>
    <t>IAM</t>
  </si>
  <si>
    <t>Security, M365, Workday</t>
  </si>
  <si>
    <t>ITSM</t>
  </si>
  <si>
    <t xml:space="preserve">Backup, Storage, Cloud, Server </t>
  </si>
  <si>
    <t>Network, Server, Cloud</t>
  </si>
  <si>
    <t xml:space="preserve">EDR, Workday </t>
  </si>
  <si>
    <t xml:space="preserve">IAM, DB </t>
  </si>
  <si>
    <t>Short Description</t>
  </si>
  <si>
    <t>Description</t>
  </si>
  <si>
    <t>Work Notes</t>
  </si>
  <si>
    <t>Priority</t>
  </si>
  <si>
    <t>Approval</t>
  </si>
  <si>
    <t>Approved</t>
  </si>
  <si>
    <t>Requested</t>
  </si>
  <si>
    <t>Not Yet Requested</t>
  </si>
  <si>
    <t>Pending</t>
  </si>
  <si>
    <t>Work in Progress</t>
  </si>
  <si>
    <t>Closed Complete</t>
  </si>
  <si>
    <t>Open</t>
  </si>
  <si>
    <t>State</t>
  </si>
  <si>
    <t>Requested For</t>
  </si>
  <si>
    <t>Assigned To</t>
  </si>
  <si>
    <t>Vinay Kumar</t>
  </si>
  <si>
    <t>Kedar Pavaskar</t>
  </si>
  <si>
    <t>Role-based access in Git, Servicenow tickets for changes</t>
  </si>
  <si>
    <t>Ad-hoc tickets in Servicenow</t>
  </si>
  <si>
    <t>Develop incident classification matrix (P1-P4); create incident response templates in Servicenow; train support team on documentation requirements; implement automated incident workflow</t>
  </si>
  <si>
    <t>Number</t>
  </si>
  <si>
    <t>SCTASK0010005</t>
  </si>
  <si>
    <t>SCTASK0010006</t>
  </si>
  <si>
    <t>SCTASK0010007</t>
  </si>
  <si>
    <t>SCTASK0010008</t>
  </si>
  <si>
    <t>SCTASK0010009</t>
  </si>
  <si>
    <t>SCTASK0010010</t>
  </si>
  <si>
    <t>SCTASK0010003</t>
  </si>
  <si>
    <t>SCTASK0010004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</si>
</sst>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49" fontId="0" fillId="0" borderId="1" xfId="0" applyNumberFormat="1" applyBorder="1" applyAlignment="1">
      <alignment vertical="top" wrapText="1"/>
    </xf>
  </cellXfs>
  <cellStyles count="2">
    <cellStyle name="Normal" xfId="0" builtinId="0"/>
    <cellStyle name="Normal 2" xfId="1" xr:uid="{80315602-E123-4F1B-B63F-F53FD5C33467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'Risk Register'!$G$2:$G$9</c:f>
              <c:numCache>
                <c:formatCode>General</c:formatCode>
                <c:ptCount val="8"/>
                <c:pt idx="0">
                  <c:v>15</c:v>
                </c:pt>
                <c:pt idx="1">
                  <c:v>16</c:v>
                </c:pt>
                <c:pt idx="2">
                  <c:v>8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5-4937-95FA-48A5E70A54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4598072"/>
        <c:axId val="774013528"/>
      </c:lineChart>
      <c:catAx>
        <c:axId val="454598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13528"/>
        <c:crosses val="autoZero"/>
        <c:auto val="1"/>
        <c:lblAlgn val="ctr"/>
        <c:lblOffset val="100"/>
        <c:noMultiLvlLbl val="0"/>
      </c:catAx>
      <c:valAx>
        <c:axId val="77401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Risk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98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1438274</xdr:colOff>
      <xdr:row>10</xdr:row>
      <xdr:rowOff>4761</xdr:rowOff>
    </xdr:from>
    <xdr:to>
      <xdr:col>8</xdr:col>
      <xdr:colOff>1190624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D8D796-7902-6981-283D-D62AEE262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2754-C653-49FA-AEE5-6DB848429C9A}">
  <dimension ref="A1:L9"/>
  <sheetViews>
    <sheetView tabSelected="1" topLeftCell="A7" workbookViewId="0">
      <selection activeCell="J10" sqref="J10"/>
    </sheetView>
  </sheetViews>
  <sheetFormatPr defaultRowHeight="15" x14ac:dyDescent="0.25"/>
  <cols>
    <col min="1" max="1" width="6.85546875" bestFit="1" customWidth="1"/>
    <col min="2" max="2" width="8.140625" bestFit="1" customWidth="1"/>
    <col min="3" max="3" width="21.7109375" customWidth="1"/>
    <col min="4" max="4" width="24.7109375" customWidth="1"/>
    <col min="5" max="5" width="10.28515625" bestFit="1" customWidth="1"/>
    <col min="6" max="6" width="7" bestFit="1" customWidth="1"/>
    <col min="7" max="7" width="5.85546875" bestFit="1" customWidth="1"/>
    <col min="9" max="9" width="18" bestFit="1" customWidth="1"/>
    <col min="10" max="10" width="54.28515625" customWidth="1"/>
    <col min="11" max="11" width="10.28515625" customWidth="1"/>
    <col min="12" max="12" width="8.85546875" bestFit="1" customWidth="1"/>
  </cols>
  <sheetData>
    <row r="1" spans="1:12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55</v>
      </c>
      <c r="L1" s="3" t="s">
        <v>56</v>
      </c>
    </row>
    <row r="2" spans="1:12" ht="6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>
        <v>3</v>
      </c>
      <c r="F2" s="1">
        <v>5</v>
      </c>
      <c r="G2" s="1">
        <f>F2*E2</f>
        <v>15</v>
      </c>
      <c r="H2" s="1" t="str">
        <f>IF(G2&gt;12,"Critical",IF(G2&gt;=8,"High",IF(G2&gt;4,"Medium","Low")))</f>
        <v>Critical</v>
      </c>
      <c r="I2" s="1" t="s">
        <v>14</v>
      </c>
      <c r="J2" s="1" t="s">
        <v>15</v>
      </c>
      <c r="K2" s="2" t="s">
        <v>65</v>
      </c>
      <c r="L2" s="1" t="str">
        <f>IF(H2="Critical","1 Week",IF(H2="High","2 Weeks",IF(H2="Medium","3 Weeks",IF(H2="Low","4 Weeks"))))</f>
        <v>1 Week</v>
      </c>
    </row>
    <row r="3" spans="1:12" ht="60" x14ac:dyDescent="0.25">
      <c r="A3" s="1" t="s">
        <v>16</v>
      </c>
      <c r="B3" s="1" t="s">
        <v>17</v>
      </c>
      <c r="C3" s="1" t="s">
        <v>18</v>
      </c>
      <c r="D3" s="1" t="s">
        <v>19</v>
      </c>
      <c r="E3" s="1">
        <v>4</v>
      </c>
      <c r="F3" s="1">
        <v>4</v>
      </c>
      <c r="G3" s="1">
        <f t="shared" ref="G3:G9" si="0">F3*E3</f>
        <v>16</v>
      </c>
      <c r="H3" s="1" t="str">
        <f t="shared" ref="H3:H9" si="1">IF(G3&gt;12,"Critical",IF(G3&gt;=8,"High",IF(G3&gt;4,"Medium","Low")))</f>
        <v>Critical</v>
      </c>
      <c r="I3" s="1" t="s">
        <v>20</v>
      </c>
      <c r="J3" s="1" t="s">
        <v>57</v>
      </c>
      <c r="K3" s="2" t="s">
        <v>64</v>
      </c>
      <c r="L3" s="1" t="str">
        <f>IF(H3="Critical","1 Week",IF(H3="High","2 Weeks",IF(H3="Medium","3 Weeks",IF(H3="Low","4 Weeks"))))</f>
        <v>1 Week</v>
      </c>
    </row>
    <row r="4" spans="1:12" ht="60" x14ac:dyDescent="0.25">
      <c r="A4" s="1" t="s">
        <v>21</v>
      </c>
      <c r="B4" s="1" t="s">
        <v>22</v>
      </c>
      <c r="C4" s="1" t="s">
        <v>23</v>
      </c>
      <c r="D4" s="1" t="s">
        <v>24</v>
      </c>
      <c r="E4" s="1">
        <v>2</v>
      </c>
      <c r="F4" s="1">
        <v>4</v>
      </c>
      <c r="G4" s="1">
        <f t="shared" si="0"/>
        <v>8</v>
      </c>
      <c r="H4" s="1" t="str">
        <f>IF(G4&gt;12,"Critical",IF(G4&gt;8,"High",IF(G4&gt;4,"Medium","Low")))</f>
        <v>Medium</v>
      </c>
      <c r="I4" s="1" t="s">
        <v>25</v>
      </c>
      <c r="J4" s="1" t="s">
        <v>26</v>
      </c>
      <c r="K4" s="2" t="s">
        <v>58</v>
      </c>
      <c r="L4" s="1" t="str">
        <f t="shared" ref="L4:L9" si="2">IF(H4="Critical","1 Week",IF(H4="High","2 Weeks",IF(H4="Medium","3 Weeks",IF(H4="Low","4 Weeks"))))</f>
        <v>3 Weeks</v>
      </c>
    </row>
    <row r="5" spans="1:12" ht="60" x14ac:dyDescent="0.25">
      <c r="A5" s="1" t="s">
        <v>27</v>
      </c>
      <c r="B5" s="1" t="s">
        <v>28</v>
      </c>
      <c r="C5" s="1" t="s">
        <v>29</v>
      </c>
      <c r="D5" s="1" t="s">
        <v>30</v>
      </c>
      <c r="E5" s="1">
        <v>2</v>
      </c>
      <c r="F5" s="1">
        <v>5</v>
      </c>
      <c r="G5" s="1">
        <f t="shared" si="0"/>
        <v>10</v>
      </c>
      <c r="H5" s="1" t="str">
        <f t="shared" si="1"/>
        <v>High</v>
      </c>
      <c r="I5" s="1" t="s">
        <v>31</v>
      </c>
      <c r="J5" s="1" t="s">
        <v>32</v>
      </c>
      <c r="K5" s="2" t="s">
        <v>62</v>
      </c>
      <c r="L5" s="1" t="str">
        <f t="shared" si="2"/>
        <v>2 Weeks</v>
      </c>
    </row>
    <row r="6" spans="1:12" ht="60" x14ac:dyDescent="0.25">
      <c r="A6" s="1" t="s">
        <v>33</v>
      </c>
      <c r="B6" s="1" t="s">
        <v>34</v>
      </c>
      <c r="C6" s="1" t="s">
        <v>35</v>
      </c>
      <c r="D6" s="1" t="s">
        <v>36</v>
      </c>
      <c r="E6" s="1">
        <v>3</v>
      </c>
      <c r="F6" s="1">
        <v>3</v>
      </c>
      <c r="G6" s="1">
        <f t="shared" si="0"/>
        <v>9</v>
      </c>
      <c r="H6" s="1" t="str">
        <f t="shared" si="1"/>
        <v>High</v>
      </c>
      <c r="I6" s="1" t="s">
        <v>37</v>
      </c>
      <c r="J6" s="1" t="s">
        <v>38</v>
      </c>
      <c r="K6" s="2" t="s">
        <v>63</v>
      </c>
      <c r="L6" s="1" t="str">
        <f t="shared" si="2"/>
        <v>2 Weeks</v>
      </c>
    </row>
    <row r="7" spans="1:12" ht="60" x14ac:dyDescent="0.25">
      <c r="A7" s="1" t="s">
        <v>39</v>
      </c>
      <c r="B7" s="1" t="s">
        <v>40</v>
      </c>
      <c r="C7" s="1" t="s">
        <v>41</v>
      </c>
      <c r="D7" s="1" t="s">
        <v>42</v>
      </c>
      <c r="E7" s="1">
        <v>2</v>
      </c>
      <c r="F7" s="1">
        <v>5</v>
      </c>
      <c r="G7" s="1">
        <f t="shared" si="0"/>
        <v>10</v>
      </c>
      <c r="H7" s="1" t="str">
        <f t="shared" si="1"/>
        <v>High</v>
      </c>
      <c r="I7" s="1" t="s">
        <v>83</v>
      </c>
      <c r="J7" s="1" t="s">
        <v>43</v>
      </c>
      <c r="K7" s="2" t="s">
        <v>59</v>
      </c>
      <c r="L7" s="1" t="str">
        <f t="shared" si="2"/>
        <v>2 Weeks</v>
      </c>
    </row>
    <row r="8" spans="1:12" ht="60" x14ac:dyDescent="0.25">
      <c r="A8" s="1" t="s">
        <v>44</v>
      </c>
      <c r="B8" s="1" t="s">
        <v>45</v>
      </c>
      <c r="C8" s="1" t="s">
        <v>46</v>
      </c>
      <c r="D8" s="1" t="s">
        <v>47</v>
      </c>
      <c r="E8" s="1">
        <v>4</v>
      </c>
      <c r="F8" s="1">
        <v>3</v>
      </c>
      <c r="G8" s="1">
        <f t="shared" si="0"/>
        <v>12</v>
      </c>
      <c r="H8" s="1" t="str">
        <f t="shared" si="1"/>
        <v>High</v>
      </c>
      <c r="I8" s="1" t="s">
        <v>48</v>
      </c>
      <c r="J8" s="1" t="s">
        <v>49</v>
      </c>
      <c r="K8" s="2" t="s">
        <v>60</v>
      </c>
      <c r="L8" s="1" t="str">
        <f t="shared" si="2"/>
        <v>2 Weeks</v>
      </c>
    </row>
    <row r="9" spans="1:12" ht="60" x14ac:dyDescent="0.25">
      <c r="A9" s="1" t="s">
        <v>50</v>
      </c>
      <c r="B9" s="1" t="s">
        <v>51</v>
      </c>
      <c r="C9" s="1" t="s">
        <v>52</v>
      </c>
      <c r="D9" s="1" t="s">
        <v>53</v>
      </c>
      <c r="E9" s="1">
        <v>2</v>
      </c>
      <c r="F9" s="1">
        <v>2</v>
      </c>
      <c r="G9" s="1">
        <f t="shared" si="0"/>
        <v>4</v>
      </c>
      <c r="H9" s="1" t="str">
        <f t="shared" si="1"/>
        <v>Low</v>
      </c>
      <c r="I9" s="1" t="s">
        <v>84</v>
      </c>
      <c r="J9" s="1" t="s">
        <v>85</v>
      </c>
      <c r="K9" s="2" t="s">
        <v>61</v>
      </c>
      <c r="L9" s="1" t="str">
        <f t="shared" si="2"/>
        <v>4 Weeks</v>
      </c>
    </row>
  </sheetData>
  <conditionalFormatting sqref="H2:H9">
    <cfRule type="containsText" dxfId="28" priority="15" operator="containsText" text="Low">
      <formula>NOT(ISERROR(SEARCH("Low",H2)))</formula>
    </cfRule>
    <cfRule type="containsText" dxfId="27" priority="16" operator="containsText" text="Medium">
      <formula>NOT(ISERROR(SEARCH("Medium",H2)))</formula>
    </cfRule>
    <cfRule type="containsText" dxfId="26" priority="17" operator="containsText" text="High">
      <formula>NOT(ISERROR(SEARCH("High",H2)))</formula>
    </cfRule>
    <cfRule type="containsText" dxfId="25" priority="18" operator="containsText" text="Critical">
      <formula>NOT(ISERROR(SEARCH("Critical",H2)))</formula>
    </cfRule>
  </conditionalFormatting>
  <conditionalFormatting sqref="L2:L3">
    <cfRule type="containsText" dxfId="24" priority="14" operator="containsText" text="1 Week">
      <formula>NOT(ISERROR(SEARCH("1 Week",L2)))</formula>
    </cfRule>
  </conditionalFormatting>
  <conditionalFormatting sqref="L4">
    <cfRule type="containsText" dxfId="23" priority="4" operator="containsText" text="3 Weeks">
      <formula>NOT(ISERROR(SEARCH("3 Weeks",L4)))</formula>
    </cfRule>
    <cfRule type="containsText" dxfId="22" priority="5" operator="containsText" text="Medium">
      <formula>NOT(ISERROR(SEARCH("Medium",L4)))</formula>
    </cfRule>
    <cfRule type="containsText" dxfId="21" priority="6" operator="containsText" text="Low">
      <formula>NOT(ISERROR(SEARCH("Low",L4)))</formula>
    </cfRule>
    <cfRule type="containsText" dxfId="20" priority="7" operator="containsText" text="Medium">
      <formula>NOT(ISERROR(SEARCH("Medium",L4)))</formula>
    </cfRule>
    <cfRule type="containsText" dxfId="19" priority="8" operator="containsText" text="High">
      <formula>NOT(ISERROR(SEARCH("High",L4)))</formula>
    </cfRule>
    <cfRule type="containsText" dxfId="18" priority="9" operator="containsText" text="Critical">
      <formula>NOT(ISERROR(SEARCH("Critical",L4)))</formula>
    </cfRule>
  </conditionalFormatting>
  <conditionalFormatting sqref="L5:L8">
    <cfRule type="containsText" dxfId="17" priority="3" operator="containsText" text="2 Weeks">
      <formula>NOT(ISERROR(SEARCH("2 Weeks",L5)))</formula>
    </cfRule>
  </conditionalFormatting>
  <conditionalFormatting sqref="L9">
    <cfRule type="containsText" dxfId="16" priority="1" operator="containsText" text="4 Weeks">
      <formula>NOT(ISERROR(SEARCH("4 Weeks",L9)))</formula>
    </cfRule>
    <cfRule type="containsText" dxfId="15" priority="2" operator="containsText" text="4 Weeks">
      <formula>NOT(ISERROR(SEARCH("4 Weeks",L9)))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2464-A495-4E5C-B571-872285716D5A}">
  <dimension ref="A1:I9"/>
  <sheetViews>
    <sheetView workbookViewId="0">
      <selection activeCell="B1" sqref="B1"/>
    </sheetView>
  </sheetViews>
  <sheetFormatPr defaultRowHeight="15" x14ac:dyDescent="0.25"/>
  <cols>
    <col min="3" max="3" width="10.42578125" customWidth="1"/>
    <col min="4" max="4" width="8.85546875" bestFit="1" customWidth="1"/>
    <col min="5" max="5" width="9.85546875" customWidth="1"/>
    <col min="6" max="6" width="10.85546875" customWidth="1"/>
    <col min="7" max="7" width="26.42578125" customWidth="1"/>
    <col min="8" max="8" width="26.140625" customWidth="1"/>
    <col min="9" max="9" width="66.5703125" customWidth="1"/>
  </cols>
  <sheetData>
    <row r="1" spans="1:9" ht="30" x14ac:dyDescent="0.25">
      <c r="A1" s="3" t="s">
        <v>86</v>
      </c>
      <c r="B1" s="3" t="s">
        <v>80</v>
      </c>
      <c r="C1" s="3" t="s">
        <v>70</v>
      </c>
      <c r="D1" s="3" t="s">
        <v>69</v>
      </c>
      <c r="E1" s="3" t="s">
        <v>78</v>
      </c>
      <c r="F1" s="3" t="s">
        <v>79</v>
      </c>
      <c r="G1" s="3" t="s">
        <v>66</v>
      </c>
      <c r="H1" s="3" t="s">
        <v>67</v>
      </c>
      <c r="I1" s="3" t="s">
        <v>68</v>
      </c>
    </row>
    <row r="2" spans="1:9" ht="60" x14ac:dyDescent="0.25">
      <c r="A2" s="1" t="s">
        <v>93</v>
      </c>
      <c r="B2" s="1" t="s">
        <v>82</v>
      </c>
      <c r="C2" s="1" t="s">
        <v>71</v>
      </c>
      <c r="D2" s="1">
        <v>1</v>
      </c>
      <c r="E2" s="4" t="s">
        <v>76</v>
      </c>
      <c r="F2" s="1" t="s">
        <v>81</v>
      </c>
      <c r="G2" s="1" t="s">
        <v>12</v>
      </c>
      <c r="H2" s="1" t="s">
        <v>13</v>
      </c>
      <c r="I2" s="1" t="s">
        <v>15</v>
      </c>
    </row>
    <row r="3" spans="1:9" ht="45" x14ac:dyDescent="0.25">
      <c r="A3" s="1" t="s">
        <v>94</v>
      </c>
      <c r="B3" s="1" t="s">
        <v>81</v>
      </c>
      <c r="C3" s="1" t="s">
        <v>71</v>
      </c>
      <c r="D3" s="1">
        <v>1</v>
      </c>
      <c r="E3" s="4" t="s">
        <v>76</v>
      </c>
      <c r="F3" s="1" t="s">
        <v>82</v>
      </c>
      <c r="G3" s="1" t="s">
        <v>18</v>
      </c>
      <c r="H3" s="1" t="s">
        <v>19</v>
      </c>
      <c r="I3" s="1" t="s">
        <v>57</v>
      </c>
    </row>
    <row r="4" spans="1:9" ht="45" x14ac:dyDescent="0.25">
      <c r="A4" s="1" t="s">
        <v>87</v>
      </c>
      <c r="B4" s="1" t="s">
        <v>81</v>
      </c>
      <c r="C4" s="1" t="s">
        <v>72</v>
      </c>
      <c r="D4" s="1">
        <v>3</v>
      </c>
      <c r="E4" s="6" t="s">
        <v>75</v>
      </c>
      <c r="F4" s="1" t="s">
        <v>82</v>
      </c>
      <c r="G4" s="1" t="s">
        <v>23</v>
      </c>
      <c r="H4" s="1" t="s">
        <v>24</v>
      </c>
      <c r="I4" s="1" t="s">
        <v>26</v>
      </c>
    </row>
    <row r="5" spans="1:9" ht="45" x14ac:dyDescent="0.25">
      <c r="A5" s="1" t="s">
        <v>88</v>
      </c>
      <c r="B5" s="1" t="s">
        <v>82</v>
      </c>
      <c r="C5" s="1" t="s">
        <v>71</v>
      </c>
      <c r="D5" s="1">
        <v>2</v>
      </c>
      <c r="E5" s="5" t="s">
        <v>74</v>
      </c>
      <c r="F5" s="1" t="s">
        <v>81</v>
      </c>
      <c r="G5" s="1" t="s">
        <v>29</v>
      </c>
      <c r="H5" s="1" t="s">
        <v>30</v>
      </c>
      <c r="I5" s="1" t="s">
        <v>32</v>
      </c>
    </row>
    <row r="6" spans="1:9" ht="45" x14ac:dyDescent="0.25">
      <c r="A6" s="1" t="s">
        <v>89</v>
      </c>
      <c r="B6" s="1" t="s">
        <v>81</v>
      </c>
      <c r="C6" s="1" t="s">
        <v>71</v>
      </c>
      <c r="D6" s="1">
        <v>2</v>
      </c>
      <c r="E6" s="5" t="s">
        <v>74</v>
      </c>
      <c r="F6" s="1" t="s">
        <v>82</v>
      </c>
      <c r="G6" s="1" t="s">
        <v>35</v>
      </c>
      <c r="H6" s="1" t="s">
        <v>36</v>
      </c>
      <c r="I6" s="1" t="s">
        <v>38</v>
      </c>
    </row>
    <row r="7" spans="1:9" ht="45" x14ac:dyDescent="0.25">
      <c r="A7" s="1" t="s">
        <v>90</v>
      </c>
      <c r="B7" s="1" t="s">
        <v>82</v>
      </c>
      <c r="C7" s="1" t="s">
        <v>71</v>
      </c>
      <c r="D7" s="1">
        <v>2</v>
      </c>
      <c r="E7" s="5" t="s">
        <v>74</v>
      </c>
      <c r="F7" s="1" t="s">
        <v>81</v>
      </c>
      <c r="G7" s="1" t="s">
        <v>41</v>
      </c>
      <c r="H7" s="1" t="s">
        <v>42</v>
      </c>
      <c r="I7" s="1" t="s">
        <v>43</v>
      </c>
    </row>
    <row r="8" spans="1:9" ht="45" x14ac:dyDescent="0.25">
      <c r="A8" s="1" t="s">
        <v>91</v>
      </c>
      <c r="B8" s="1" t="s">
        <v>81</v>
      </c>
      <c r="C8" s="1" t="s">
        <v>71</v>
      </c>
      <c r="D8" s="1">
        <v>2</v>
      </c>
      <c r="E8" s="5" t="s">
        <v>74</v>
      </c>
      <c r="F8" s="1" t="s">
        <v>82</v>
      </c>
      <c r="G8" s="1" t="s">
        <v>46</v>
      </c>
      <c r="H8" s="1" t="s">
        <v>47</v>
      </c>
      <c r="I8" s="1" t="s">
        <v>49</v>
      </c>
    </row>
    <row r="9" spans="1:9" ht="45" x14ac:dyDescent="0.25">
      <c r="A9" s="7" t="s">
        <v>92</v>
      </c>
      <c r="B9" s="1" t="s">
        <v>82</v>
      </c>
      <c r="C9" s="1" t="s">
        <v>73</v>
      </c>
      <c r="D9" s="1">
        <v>4</v>
      </c>
      <c r="E9" s="6" t="s">
        <v>77</v>
      </c>
      <c r="F9" s="1" t="s">
        <v>81</v>
      </c>
      <c r="G9" s="1" t="s">
        <v>52</v>
      </c>
      <c r="H9" s="1" t="s">
        <v>53</v>
      </c>
      <c r="I9" s="1" t="s">
        <v>54</v>
      </c>
    </row>
  </sheetData>
  <conditionalFormatting sqref="B2:F4">
    <cfRule type="containsText" dxfId="14" priority="6" operator="containsText" text="1 Week">
      <formula>NOT(ISERROR(SEARCH("1 Week",B2)))</formula>
    </cfRule>
  </conditionalFormatting>
  <conditionalFormatting sqref="B5:F5 C5:F9 B7:F7 B9:F9 C2:F3">
    <cfRule type="containsText" dxfId="13" priority="21" operator="containsText" text="1 Week">
      <formula>NOT(ISERROR(SEARCH("1 Week",B2)))</formula>
    </cfRule>
  </conditionalFormatting>
  <conditionalFormatting sqref="B6:F6">
    <cfRule type="containsText" dxfId="12" priority="4" operator="containsText" text="1 Week">
      <formula>NOT(ISERROR(SEARCH("1 Week",B6)))</formula>
    </cfRule>
  </conditionalFormatting>
  <conditionalFormatting sqref="B8:F8">
    <cfRule type="containsText" dxfId="11" priority="2" operator="containsText" text="1 Week">
      <formula>NOT(ISERROR(SEARCH("1 Week",B8)))</formula>
    </cfRule>
  </conditionalFormatting>
  <conditionalFormatting sqref="C4:F4">
    <cfRule type="containsText" dxfId="10" priority="15" operator="containsText" text="3 Weeks">
      <formula>NOT(ISERROR(SEARCH("3 Weeks",C4)))</formula>
    </cfRule>
    <cfRule type="containsText" dxfId="9" priority="16" operator="containsText" text="Medium">
      <formula>NOT(ISERROR(SEARCH("Medium",C4)))</formula>
    </cfRule>
    <cfRule type="containsText" dxfId="8" priority="17" operator="containsText" text="Low">
      <formula>NOT(ISERROR(SEARCH("Low",C4)))</formula>
    </cfRule>
    <cfRule type="containsText" dxfId="7" priority="18" operator="containsText" text="Medium">
      <formula>NOT(ISERROR(SEARCH("Medium",C4)))</formula>
    </cfRule>
    <cfRule type="containsText" dxfId="6" priority="19" operator="containsText" text="High">
      <formula>NOT(ISERROR(SEARCH("High",C4)))</formula>
    </cfRule>
    <cfRule type="containsText" dxfId="5" priority="20" operator="containsText" text="Critical">
      <formula>NOT(ISERROR(SEARCH("Critical",C4)))</formula>
    </cfRule>
  </conditionalFormatting>
  <conditionalFormatting sqref="D5:F8">
    <cfRule type="containsText" dxfId="4" priority="14" operator="containsText" text="2 Weeks">
      <formula>NOT(ISERROR(SEARCH("2 Weeks",D5)))</formula>
    </cfRule>
  </conditionalFormatting>
  <conditionalFormatting sqref="D9:F9">
    <cfRule type="containsText" dxfId="3" priority="12" operator="containsText" text="4 Weeks">
      <formula>NOT(ISERROR(SEARCH("4 Weeks",D9)))</formula>
    </cfRule>
    <cfRule type="containsText" dxfId="2" priority="13" operator="containsText" text="4 Weeks">
      <formula>NOT(ISERROR(SEARCH("4 Weeks",D9)))</formula>
    </cfRule>
  </conditionalFormatting>
  <conditionalFormatting sqref="F3:F4">
    <cfRule type="containsText" dxfId="1" priority="7" operator="containsText" text="1 Week">
      <formula>NOT(ISERROR(SEARCH("1 Week",F3)))</formula>
    </cfRule>
  </conditionalFormatting>
  <conditionalFormatting sqref="A2:A8">
    <cfRule type="containsText" dxfId="0" priority="1" operator="containsText" text="1 Week">
      <formula>NOT(ISERROR(SEARCH("1 Week",A2)))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Servicenow 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Vinay Kumar</cp:lastModifiedBy>
  <dcterms:created xsi:type="dcterms:W3CDTF">2026-02-02T05:50:51Z</dcterms:created>
  <dcterms:modified xsi:type="dcterms:W3CDTF">2026-02-05T13:29:47Z</dcterms:modified>
</cp:coreProperties>
</file>